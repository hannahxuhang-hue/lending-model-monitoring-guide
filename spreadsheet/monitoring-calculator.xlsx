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SI" sheetId="2" state="visible" r:id="rId4"/>
    <sheet name="Early warning" sheetId="3" state="visible" r:id="rId5"/>
    <sheet name="Vintage curves" sheetId="4" state="visible" r:id="rId6"/>
    <sheet name="Fair lending AIR" sheetId="5" state="visible" r:id="rId7"/>
    <sheet name="Threshol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A floor of 0.01% is applied to empty bins so the log is defined.</t>
        </r>
      </text>
    </comment>
  </commentList>
</comments>
</file>

<file path=xl/sharedStrings.xml><?xml version="1.0" encoding="utf-8"?>
<sst xmlns="http://schemas.openxmlformats.org/spreadsheetml/2006/main" count="206" uniqueCount="177">
  <si>
    <t xml:space="preserve">Lending model monitoring calculator</t>
  </si>
  <si>
    <t xml:space="preserve">Companion to the lending-model-monitoring-guide repository. For lenders who run monitoring in a spreadsheet rather than code.</t>
  </si>
  <si>
    <t xml:space="preserve">How to use</t>
  </si>
  <si>
    <t xml:space="preserve">1. Yellow cells with blue text are inputs. Replace the example values with your own counts.</t>
  </si>
  <si>
    <t xml:space="preserve">2. Everything else is a formula. Don't type over it.</t>
  </si>
  <si>
    <t xml:space="preserve">3. Each tab ends in a status cell (green / amber / red), using the starting thresholds from guide chapter 06. Adjust the threshold cells to your own policy.</t>
  </si>
  <si>
    <t xml:space="preserve">Tabs</t>
  </si>
  <si>
    <t xml:space="preserve">PSI: stability of the score or of one input, with a sample-size-aware threshold (guide chapter 02).</t>
  </si>
  <si>
    <t xml:space="preserve">Early warning: actual vs expected early delinquency for a cohort that has not matured yet (guide chapter 03).</t>
  </si>
  <si>
    <t xml:space="preserve">Vintage curves: cumulative early delinquency by booking quarter, compared with earlier vintages at the same age (guide chapter 3.3).</t>
  </si>
  <si>
    <t xml:space="preserve">Fair lending AIR: approval-rate ratio using probability-weighted group counts, e.g. from BISG (guide chapter 05).</t>
  </si>
  <si>
    <t xml:space="preserve">Thresholds: the starting alert thresholds, owners, and actions from guide chapter 06.</t>
  </si>
  <si>
    <t xml:space="preserve">About the example values</t>
  </si>
  <si>
    <t xml:space="preserve">All example values come from the repository's synthetic data (examples/synthetic_data.py, seed 7). They do not describe any real lender.</t>
  </si>
  <si>
    <t xml:space="preserve">This calculator is general methodology, not legal, regulatory, or compliance advice.</t>
  </si>
  <si>
    <t xml:space="preserve">Population Stability Index (PSI / CSI)</t>
  </si>
  <si>
    <t xml:space="preserve">Example: years_in_business, development sample vs one quarter of applications. Use 5 bins, with edges fixed from the development sample.</t>
  </si>
  <si>
    <t xml:space="preserve">Variable</t>
  </si>
  <si>
    <t xml:space="preserve">years_in_business</t>
  </si>
  <si>
    <t xml:space="preserve">Bin</t>
  </si>
  <si>
    <t xml:space="preserve">Baseline count</t>
  </si>
  <si>
    <t xml:space="preserve">Current count</t>
  </si>
  <si>
    <t xml:space="preserve">Baseline share</t>
  </si>
  <si>
    <t xml:space="preserve">Current share</t>
  </si>
  <si>
    <t xml:space="preserve">PSI contribution</t>
  </si>
  <si>
    <t xml:space="preserve">under 1.5</t>
  </si>
  <si>
    <t xml:space="preserve">1.5 to 3.4</t>
  </si>
  <si>
    <t xml:space="preserve">3.4 to 5.4</t>
  </si>
  <si>
    <t xml:space="preserve">5.4 to 8.6</t>
  </si>
  <si>
    <t xml:space="preserve">8.6 and over</t>
  </si>
  <si>
    <t xml:space="preserve">Total</t>
  </si>
  <si>
    <t xml:space="preserve">PSI</t>
  </si>
  <si>
    <t xml:space="preserve">Number of bins</t>
  </si>
  <si>
    <t xml:space="preserve">Effective sample size</t>
  </si>
  <si>
    <t xml:space="preserve">n1*n2/(n1+n2)</t>
  </si>
  <si>
    <t xml:space="preserve">Noise threshold (99%)</t>
  </si>
  <si>
    <t xml:space="preserve">PSI that sampling noise alone exceeds 1% of the time: chi-square(bins-1) / effective n. Understates noise when bins hold fewer than ~10 applicants.</t>
  </si>
  <si>
    <t xml:space="preserve">Rule-of-thumb amber</t>
  </si>
  <si>
    <t xml:space="preserve">Rule-of-thumb red</t>
  </si>
  <si>
    <t xml:space="preserve">Amber at</t>
  </si>
  <si>
    <t xml:space="preserve">Larger of the rule of thumb and the noise threshold</t>
  </si>
  <si>
    <t xml:space="preserve">Red at</t>
  </si>
  <si>
    <t xml:space="preserve">Status</t>
  </si>
  <si>
    <t xml:space="preserve">Early warning: actual vs expected early delinquency</t>
  </si>
  <si>
    <t xml:space="preserve">Example: the synthetic cohort booked six months ago. Use this before 12-month outcomes are known.</t>
  </si>
  <si>
    <t xml:space="preserve">Loans in cohort</t>
  </si>
  <si>
    <t xml:space="preserve">Loans booked in the period, now at least 6 months on book</t>
  </si>
  <si>
    <t xml:space="preserve">Sum of predicted 12-month PD</t>
  </si>
  <si>
    <t xml:space="preserve">Add up each loan's PD from the model at booking</t>
  </si>
  <si>
    <t xml:space="preserve">Early-to-final ratio</t>
  </si>
  <si>
    <t xml:space="preserve">Share of eventual 12-month defaults that were already 30+ DPD at 6 months, from development data or your own history</t>
  </si>
  <si>
    <t xml:space="preserve">Actual 30+ DPD at 6 months</t>
  </si>
  <si>
    <t xml:space="preserve">Count from your servicing system</t>
  </si>
  <si>
    <t xml:space="preserve">Minimum expected count</t>
  </si>
  <si>
    <t xml:space="preserve">Below this, report "insufficient" rather than a ratio</t>
  </si>
  <si>
    <t xml:space="preserve">Expected early delinquencies</t>
  </si>
  <si>
    <t xml:space="preserve">Actual / expected</t>
  </si>
  <si>
    <t xml:space="preserve">p-value (Poisson, one-sided)</t>
  </si>
  <si>
    <t xml:space="preserve">Chance of seeing this many or more if the model were right</t>
  </si>
  <si>
    <t xml:space="preserve">Amber ratio</t>
  </si>
  <si>
    <t xml:space="preserve">Red ratio</t>
  </si>
  <si>
    <t xml:space="preserve">Red requires the ratio and p &lt; 0.05</t>
  </si>
  <si>
    <t xml:space="preserve">Vintage curves: cumulative 30+ DPD rate by months on book</t>
  </si>
  <si>
    <t xml:space="preserve">One row per booking quarter. Compare each vintage with earlier vintages at the same age (guide chapter 3.3). Example values are synthetic.</t>
  </si>
  <si>
    <t xml:space="preserve">1. Inputs: loans booked and cumulative count 30+ days past due</t>
  </si>
  <si>
    <t xml:space="preserve">Booking quarter</t>
  </si>
  <si>
    <t xml:space="preserve">Loans booked</t>
  </si>
  <si>
    <t xml:space="preserve">3 MOB</t>
  </si>
  <si>
    <t xml:space="preserve">6 MOB</t>
  </si>
  <si>
    <t xml:space="preserve">9 MOB</t>
  </si>
  <si>
    <t xml:space="preserve">12 MOB</t>
  </si>
  <si>
    <t xml:space="preserve">15 MOB</t>
  </si>
  <si>
    <t xml:space="preserve">18 MOB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</si>
  <si>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</si>
  <si>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</si>
  <si>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</si>
  <si>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</si>
  <si>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</si>
  <si>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</si>
  <si>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</si>
  <si>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Leave a cell blank until the vintage reaches that age.</t>
  </si>
  <si>
    <t xml:space="preserve">2. Cumulative 30+ DPD rate</t>
  </si>
  <si>
    <t xml:space="preserve">Darker shading = higher cumulative delinquency. Read down a column to compare vintages at the same age.</t>
  </si>
  <si>
    <t xml:space="preserve">3. Ratio to the average of earlier vintages at the same age</t>
  </si>
  <si>
    <t xml:space="preserve">Worst ratio</t>
  </si>
  <si>
    <t xml:space="preserve">Amber at ratio</t>
  </si>
  <si>
    <t xml:space="preserve">Red at ratio</t>
  </si>
  <si>
    <t xml:space="preserve">Same starting points as the early-warning check (guide chapter 6). With ~100 loans per vintage, one or two loans move a rate by 1-2 points: confirm a red vintage with the Early warning tab before acting.</t>
  </si>
  <si>
    <t xml:space="preserve">Adverse impact ratio (approval rates)</t>
  </si>
  <si>
    <t xml:space="preserve">Probability-weighted counts: sum each applicant's estimated probability of group membership (e.g. BISG). The comparison group uses 1 minus that probability.</t>
  </si>
  <si>
    <t xml:space="preserve">Group of interest</t>
  </si>
  <si>
    <t xml:space="preserve">Comparison group</t>
  </si>
  <si>
    <t xml:space="preserve">Applicants (sum of probabilities)</t>
  </si>
  <si>
    <t xml:space="preserve">Approvals (sum of probabilities)</t>
  </si>
  <si>
    <t xml:space="preserve">Approval rate</t>
  </si>
  <si>
    <t xml:space="preserve">Adverse impact ratio (AIR)</t>
  </si>
  <si>
    <t xml:space="preserve">Pooled approval rate</t>
  </si>
  <si>
    <t xml:space="preserve">z statistic</t>
  </si>
  <si>
    <t xml:space="preserve">p-value (two-sided)</t>
  </si>
  <si>
    <t xml:space="preserve">Amber below</t>
  </si>
  <si>
    <t xml:space="preserve">Red below</t>
  </si>
  <si>
    <t xml:space="preserve">An amber or red result is a prompt for the input-level review in guide chapter 05, not a finding of discrimination.</t>
  </si>
  <si>
    <t xml:space="preserve">Starting alert thresholds (guide chapter 06)</t>
  </si>
  <si>
    <t xml:space="preserve">Starting points for a small portfolio. Set your own in your monitoring policy and record why.</t>
  </si>
  <si>
    <t xml:space="preserve">check</t>
  </si>
  <si>
    <t xml:space="preserve">metric</t>
  </si>
  <si>
    <t xml:space="preserve">cadence</t>
  </si>
  <si>
    <t xml:space="preserve">amber</t>
  </si>
  <si>
    <t xml:space="preserve">red</t>
  </si>
  <si>
    <t xml:space="preserve">owner</t>
  </si>
  <si>
    <t xml:space="preserve">first action</t>
  </si>
  <si>
    <t xml:space="preserve">Data quality</t>
  </si>
  <si>
    <t xml:space="preserve">Missing rate per input vs baseline</t>
  </si>
  <si>
    <t xml:space="preserve">Monthly</t>
  </si>
  <si>
    <t xml:space="preserve">+5 percentage points or &gt;2% of values outside baseline range</t>
  </si>
  <si>
    <t xml:space="preserve">+10 percentage points or a field entirely blank</t>
  </si>
  <si>
    <t xml:space="preserve">Data / loan-system administrator</t>
  </si>
  <si>
    <t xml:space="preserve">Find the cause (system change / vendor / form); fix the feed before touching the model</t>
  </si>
  <si>
    <t xml:space="preserve">Score stability</t>
  </si>
  <si>
    <t xml:space="preserve">PSI of score vs development (5 bins)</t>
  </si>
  <si>
    <t xml:space="preserve">Monthly (pool to quarterly if &lt;150 applications)</t>
  </si>
  <si>
    <t xml:space="preserve">PSI &gt;= max(0.10; noise threshold)</t>
  </si>
  <si>
    <t xml:space="preserve">PSI &gt;= max(0.25; 2x noise threshold)</t>
  </si>
  <si>
    <t xml:space="preserve">Model owner</t>
  </si>
  <si>
    <t xml:space="preserve">Check which inputs moved (CSI); confirm whether the applicant mix really changed</t>
  </si>
  <si>
    <t xml:space="preserve">Input stability</t>
  </si>
  <si>
    <t xml:space="preserve">CSI per input (5 bins)</t>
  </si>
  <si>
    <t xml:space="preserve">Quarterly</t>
  </si>
  <si>
    <t xml:space="preserve">CSI &gt;= max(0.10; noise threshold)</t>
  </si>
  <si>
    <t xml:space="preserve">CSI &gt;= max(0.25; 2x noise threshold)</t>
  </si>
  <si>
    <t xml:space="preserve">Check whether the model was built on applicants like the new ones; note any new channel or product</t>
  </si>
  <si>
    <t xml:space="preserve">Decisions</t>
  </si>
  <si>
    <t xml:space="preserve">Approval rate vs trailing 6 months</t>
  </si>
  <si>
    <t xml:space="preserve">Change of 5 percentage points or more</t>
  </si>
  <si>
    <t xml:space="preserve">Change of 10 percentage points or more</t>
  </si>
  <si>
    <t xml:space="preserve">Chief lending officer</t>
  </si>
  <si>
    <t xml:space="preserve">Explain the change (policy / mix / data); if unexplained treat as a data alert</t>
  </si>
  <si>
    <t xml:space="preserve">Override rate (manual decisions against the model)</t>
  </si>
  <si>
    <t xml:space="preserve">Above 10% or doubled vs trailing 6 months</t>
  </si>
  <si>
    <t xml:space="preserve">Above 20%</t>
  </si>
  <si>
    <t xml:space="preserve">Review a sample of overrides; are lenders compensating for something the model misses?</t>
  </si>
  <si>
    <t xml:space="preserve">Early warning</t>
  </si>
  <si>
    <t xml:space="preserve">Actual / expected 30+ DPD at 6 months on book</t>
  </si>
  <si>
    <t xml:space="preserve">Ratio &gt;= 1.25</t>
  </si>
  <si>
    <t xml:space="preserve">Ratio &gt;= 1.50 and p &lt; 0.05</t>
  </si>
  <si>
    <t xml:space="preserve">Segment the cohort (channel / industry / geography / booking month); report to credit committee</t>
  </si>
  <si>
    <t xml:space="preserve">Performance</t>
  </si>
  <si>
    <t xml:space="preserve">AUC of matured cohort vs development</t>
  </si>
  <si>
    <t xml:space="preserve">Annually or when a cohort reaches 12 months on book</t>
  </si>
  <si>
    <t xml:space="preserve">Drop &gt; 0.03 and development AUC outside cohort 95% interval</t>
  </si>
  <si>
    <t xml:space="preserve">Drop &gt; 0.07 and outside interval</t>
  </si>
  <si>
    <t xml:space="preserve">Check by segment; if rank order degraded plan a rebuild</t>
  </si>
  <si>
    <t xml:space="preserve">Calibration</t>
  </si>
  <si>
    <t xml:space="preserve">Actual / expected defaults (overall and by PD band)</t>
  </si>
  <si>
    <t xml:space="preserve">Ratio outside 0.80-1.25</t>
  </si>
  <si>
    <t xml:space="preserve">Ratio outside 0.67-1.50 and 95% interval excludes 1.0</t>
  </si>
  <si>
    <t xml:space="preserve">If rank order is fine recalibrate; if not rebuild</t>
  </si>
  <si>
    <t xml:space="preserve">Fair lending - outcomes</t>
  </si>
  <si>
    <t xml:space="preserve">Approval adverse impact ratio (probability-weighted)</t>
  </si>
  <si>
    <t xml:space="preserve">AIR below 0.90</t>
  </si>
  <si>
    <t xml:space="preserve">AIR below 0.80</t>
  </si>
  <si>
    <t xml:space="preserve">Compliance lead / CLO</t>
  </si>
  <si>
    <t xml:space="preserve">Run the input-level proxy review; document</t>
  </si>
  <si>
    <t xml:space="preserve">Fair lending - inputs</t>
  </si>
  <si>
    <t xml:space="preserve">Correlation of each input with estimated group membership</t>
  </si>
  <si>
    <t xml:space="preserve">Annually and whenever an input is added or changed</t>
  </si>
  <si>
    <t xml:space="preserve">|correlation| &gt;= 0.30</t>
  </si>
  <si>
    <t xml:space="preserve">|correlation| &gt;= 0.30 and weak predictive value</t>
  </si>
  <si>
    <t xml:space="preserve">Compliance lead / model owner</t>
  </si>
  <si>
    <t xml:space="preserve">Document business justification; test a less discriminatory alternative</t>
  </si>
  <si>
    <t xml:space="preserve">Vendor models</t>
  </si>
  <si>
    <t xml:space="preserve">Vendor change notices / release notes</t>
  </si>
  <si>
    <t xml:space="preserve">On every notice</t>
  </si>
  <si>
    <t xml:space="preserve">Any change to inputs or methodology</t>
  </si>
  <si>
    <t xml:space="preserve">Change without notice or without documentation</t>
  </si>
  <si>
    <t xml:space="preserve">Vendor relationship owner</t>
  </si>
  <si>
    <t xml:space="preserve">Re-run stability checks on the next month of scores; request documentation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</si>
</sst>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000"/>
    <numFmt numFmtId="168" formatCode="0.000"/>
    <numFmt numFmtId="169" formatCode="0"/>
    <numFmt numFmtId="170" formatCode="#,##0.0"/>
    <numFmt numFmtId="171" formatCode="0.00"/>
    <numFmt numFmtId="172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26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26.2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26.2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6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7" t="s">
        <v>15</v>
      </c>
    </row>
    <row r="2" customFormat="false" ht="15" hidden="false" customHeight="true" outlineLevel="0" collapsed="false">
      <c r="A2" s="5" t="s">
        <v>16</v>
      </c>
    </row>
    <row r="3" customFormat="false" ht="15" hidden="false" customHeight="true" outlineLevel="0" collapsed="false">
      <c r="A3" s="8" t="s">
        <v>17</v>
      </c>
      <c r="B3" s="9" t="s">
        <v>18</v>
      </c>
    </row>
    <row r="5" customFormat="false" ht="1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</row>
    <row r="6" customFormat="false" ht="15" hidden="false" customHeight="true" outlineLevel="0" collapsed="false">
      <c r="A6" s="9" t="s">
        <v>25</v>
      </c>
      <c r="B6" s="11" t="n">
        <v>252</v>
      </c>
      <c r="C6" s="11" t="n">
        <v>75</v>
      </c>
      <c r="D6" s="12" t="n">
        <f aca="false">MAX(B6/$B$11,0.0001)</f>
        <v>0.21</v>
      </c>
      <c r="E6" s="12" t="n">
        <f aca="false">MAX(C6/$C$11,0.0001)</f>
        <v>0.394736842105263</v>
      </c>
      <c r="F6" s="13" t="n">
        <f aca="false">(E6-D6)*LN(E6/D6)</f>
        <v>0.116589599033586</v>
      </c>
    </row>
    <row r="7" customFormat="false" ht="15" hidden="false" customHeight="true" outlineLevel="0" collapsed="false">
      <c r="A7" s="9" t="s">
        <v>26</v>
      </c>
      <c r="B7" s="11" t="n">
        <v>233</v>
      </c>
      <c r="C7" s="11" t="n">
        <v>39</v>
      </c>
      <c r="D7" s="12" t="n">
        <f aca="false">MAX(B7/$B$11,0.0001)</f>
        <v>0.194166666666667</v>
      </c>
      <c r="E7" s="12" t="n">
        <f aca="false">MAX(C7/$C$11,0.0001)</f>
        <v>0.205263157894737</v>
      </c>
      <c r="F7" s="13" t="n">
        <f aca="false">(E7-D7)*LN(E7/D7)</f>
        <v>0.000616698110238005</v>
      </c>
    </row>
    <row r="8" customFormat="false" ht="15" hidden="false" customHeight="true" outlineLevel="0" collapsed="false">
      <c r="A8" s="9" t="s">
        <v>27</v>
      </c>
      <c r="B8" s="11" t="n">
        <v>244</v>
      </c>
      <c r="C8" s="11" t="n">
        <v>24</v>
      </c>
      <c r="D8" s="12" t="n">
        <f aca="false">MAX(B8/$B$11,0.0001)</f>
        <v>0.203333333333333</v>
      </c>
      <c r="E8" s="12" t="n">
        <f aca="false">MAX(C8/$C$11,0.0001)</f>
        <v>0.126315789473684</v>
      </c>
      <c r="F8" s="13" t="n">
        <f aca="false">(E8-D8)*LN(E8/D8)</f>
        <v>0.0366650975708275</v>
      </c>
    </row>
    <row r="9" customFormat="false" ht="15" hidden="false" customHeight="true" outlineLevel="0" collapsed="false">
      <c r="A9" s="9" t="s">
        <v>28</v>
      </c>
      <c r="B9" s="11" t="n">
        <v>236</v>
      </c>
      <c r="C9" s="11" t="n">
        <v>32</v>
      </c>
      <c r="D9" s="12" t="n">
        <f aca="false">MAX(B9/$B$11,0.0001)</f>
        <v>0.196666666666667</v>
      </c>
      <c r="E9" s="12" t="n">
        <f aca="false">MAX(C9/$C$11,0.0001)</f>
        <v>0.168421052631579</v>
      </c>
      <c r="F9" s="13" t="n">
        <f aca="false">(E9-D9)*LN(E9/D9)</f>
        <v>0.00437928865197452</v>
      </c>
    </row>
    <row r="10" customFormat="false" ht="15" hidden="false" customHeight="true" outlineLevel="0" collapsed="false">
      <c r="A10" s="9" t="s">
        <v>29</v>
      </c>
      <c r="B10" s="11" t="n">
        <v>235</v>
      </c>
      <c r="C10" s="11" t="n">
        <v>20</v>
      </c>
      <c r="D10" s="12" t="n">
        <f aca="false">MAX(B10/$B$11,0.0001)</f>
        <v>0.195833333333333</v>
      </c>
      <c r="E10" s="12" t="n">
        <f aca="false">MAX(C10/$C$11,0.0001)</f>
        <v>0.105263157894737</v>
      </c>
      <c r="F10" s="13" t="n">
        <f aca="false">(E10-D10)*LN(E10/D10)</f>
        <v>0.0562260081119505</v>
      </c>
    </row>
    <row r="11" customFormat="false" ht="15" hidden="false" customHeight="true" outlineLevel="0" collapsed="false">
      <c r="A11" s="14" t="s">
        <v>30</v>
      </c>
      <c r="B11" s="15" t="n">
        <f aca="false">SUM(B6:B10)</f>
        <v>1200</v>
      </c>
      <c r="C11" s="15" t="n">
        <f aca="false">SUM(C6:C10)</f>
        <v>190</v>
      </c>
      <c r="D11" s="16" t="n">
        <f aca="false">SUM(D6:D10)</f>
        <v>1</v>
      </c>
      <c r="E11" s="16" t="n">
        <f aca="false">SUM(E6:E10)</f>
        <v>1</v>
      </c>
      <c r="F11" s="17" t="n">
        <f aca="false">SUM(F6:F10)</f>
        <v>0.214476691478576</v>
      </c>
    </row>
    <row r="14" customFormat="false" ht="15" hidden="false" customHeight="true" outlineLevel="0" collapsed="false">
      <c r="A14" s="14" t="s">
        <v>31</v>
      </c>
      <c r="B14" s="18" t="n">
        <f aca="false">F11</f>
        <v>0.214476691478576</v>
      </c>
    </row>
    <row r="15" customFormat="false" ht="15" hidden="false" customHeight="true" outlineLevel="0" collapsed="false">
      <c r="A15" s="19" t="s">
        <v>32</v>
      </c>
      <c r="B15" s="20" t="n">
        <f aca="false">COUNTA(A6:A10)</f>
        <v>5</v>
      </c>
    </row>
    <row r="16" customFormat="false" ht="15" hidden="false" customHeight="true" outlineLevel="0" collapsed="false">
      <c r="A16" s="19" t="s">
        <v>33</v>
      </c>
      <c r="B16" s="21" t="n">
        <f aca="false">B11*C11/(B11+C11)</f>
        <v>164.028776978417</v>
      </c>
      <c r="C16" s="22" t="s">
        <v>34</v>
      </c>
    </row>
    <row r="17" customFormat="false" ht="15" hidden="false" customHeight="true" outlineLevel="0" collapsed="false">
      <c r="A17" s="19" t="s">
        <v>35</v>
      </c>
      <c r="B17" s="23" t="n">
        <f aca="false">CHIINV(0.01,B15-1)/B16</f>
        <v>0.0809413103027316</v>
      </c>
      <c r="C17" s="22" t="s">
        <v>36</v>
      </c>
    </row>
    <row r="18" customFormat="false" ht="15" hidden="false" customHeight="true" outlineLevel="0" collapsed="false">
      <c r="A18" s="19" t="s">
        <v>37</v>
      </c>
      <c r="B18" s="24" t="n">
        <v>0.1</v>
      </c>
    </row>
    <row r="19" customFormat="false" ht="15" hidden="false" customHeight="true" outlineLevel="0" collapsed="false">
      <c r="A19" s="19" t="s">
        <v>38</v>
      </c>
      <c r="B19" s="24" t="n">
        <v>0.25</v>
      </c>
    </row>
    <row r="20" customFormat="false" ht="15" hidden="false" customHeight="true" outlineLevel="0" collapsed="false">
      <c r="A20" s="19" t="s">
        <v>39</v>
      </c>
      <c r="B20" s="23" t="n">
        <f aca="false">MAX(B18,B17)</f>
        <v>0.1</v>
      </c>
      <c r="C20" s="22" t="s">
        <v>40</v>
      </c>
    </row>
    <row r="21" customFormat="false" ht="15" hidden="false" customHeight="true" outlineLevel="0" collapsed="false">
      <c r="A21" s="19" t="s">
        <v>41</v>
      </c>
      <c r="B21" s="23" t="n">
        <f aca="false">MAX(B19,2*B17)</f>
        <v>0.25</v>
      </c>
    </row>
    <row r="22" customFormat="false" ht="15" hidden="false" customHeight="true" outlineLevel="0" collapsed="false">
      <c r="A22" s="14" t="s">
        <v>42</v>
      </c>
      <c r="B22" s="14" t="str">
        <f aca="false">IF(B14&gt;=B21,"red",IF(B14&gt;=B20,"amber","green"))</f>
        <v>amber</v>
      </c>
    </row>
  </sheetData>
  <conditionalFormatting sqref="B22">
    <cfRule type="expression" priority="2" aboveAverage="0" equalAverage="0" bottom="0" percent="0" rank="0" text="" dxfId="0">
      <formula>EXACT(B22,"red")</formula>
    </cfRule>
    <cfRule type="expression" priority="3" aboveAverage="0" equalAverage="0" bottom="0" percent="0" rank="0" text="" dxfId="1">
      <formula>EXACT(B22,"amber")</formula>
    </cfRule>
    <cfRule type="expression" priority="4" aboveAverage="0" equalAverage="0" bottom="0" percent="0" rank="0" text="" dxfId="2">
      <formula>EXACT(B22,"green")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7" t="s">
        <v>43</v>
      </c>
    </row>
    <row r="2" customFormat="false" ht="15" hidden="false" customHeight="true" outlineLevel="0" collapsed="false">
      <c r="A2" s="5" t="s">
        <v>44</v>
      </c>
    </row>
    <row r="4" customFormat="false" ht="15" hidden="false" customHeight="true" outlineLevel="0" collapsed="false">
      <c r="A4" s="19" t="s">
        <v>45</v>
      </c>
      <c r="B4" s="11" t="n">
        <v>360</v>
      </c>
      <c r="C4" s="22" t="s">
        <v>46</v>
      </c>
    </row>
    <row r="5" customFormat="false" ht="15" hidden="false" customHeight="true" outlineLevel="0" collapsed="false">
      <c r="A5" s="19" t="s">
        <v>47</v>
      </c>
      <c r="B5" s="25" t="n">
        <v>69.2</v>
      </c>
      <c r="C5" s="22" t="s">
        <v>48</v>
      </c>
    </row>
    <row r="6" customFormat="false" ht="15" hidden="false" customHeight="true" outlineLevel="0" collapsed="false">
      <c r="A6" s="19" t="s">
        <v>49</v>
      </c>
      <c r="B6" s="26" t="n">
        <v>0.413</v>
      </c>
      <c r="C6" s="22" t="s">
        <v>50</v>
      </c>
    </row>
    <row r="7" customFormat="false" ht="15" hidden="false" customHeight="true" outlineLevel="0" collapsed="false">
      <c r="A7" s="19" t="s">
        <v>51</v>
      </c>
      <c r="B7" s="11" t="n">
        <v>49</v>
      </c>
      <c r="C7" s="22" t="s">
        <v>52</v>
      </c>
    </row>
    <row r="8" customFormat="false" ht="15" hidden="false" customHeight="true" outlineLevel="0" collapsed="false">
      <c r="A8" s="19" t="s">
        <v>53</v>
      </c>
      <c r="B8" s="27" t="n">
        <v>5</v>
      </c>
      <c r="C8" s="22" t="s">
        <v>54</v>
      </c>
    </row>
    <row r="9" customFormat="false" ht="15" hidden="false" customHeight="true" outlineLevel="0" collapsed="false">
      <c r="A9" s="19" t="s">
        <v>55</v>
      </c>
      <c r="B9" s="21" t="n">
        <f aca="false">B5*B6</f>
        <v>28.5796</v>
      </c>
    </row>
    <row r="10" customFormat="false" ht="15" hidden="false" customHeight="true" outlineLevel="0" collapsed="false">
      <c r="A10" s="19" t="s">
        <v>56</v>
      </c>
      <c r="B10" s="28" t="n">
        <f aca="false">IF(B9&lt;B8,"n/a",B7/B9)</f>
        <v>1.71450965024003</v>
      </c>
    </row>
    <row r="11" customFormat="false" ht="15" hidden="false" customHeight="true" outlineLevel="0" collapsed="false">
      <c r="A11" s="19" t="s">
        <v>57</v>
      </c>
      <c r="B11" s="13" t="n">
        <f aca="false">IF(B7&lt;1,1,1-POISSON(B7-1,B9,TRUE()))</f>
        <v>0.00032051906934627</v>
      </c>
      <c r="C11" s="22" t="s">
        <v>58</v>
      </c>
    </row>
    <row r="12" customFormat="false" ht="15" hidden="false" customHeight="true" outlineLevel="0" collapsed="false">
      <c r="A12" s="19" t="s">
        <v>59</v>
      </c>
      <c r="B12" s="29" t="n">
        <v>1.25</v>
      </c>
    </row>
    <row r="13" customFormat="false" ht="15" hidden="false" customHeight="true" outlineLevel="0" collapsed="false">
      <c r="A13" s="19" t="s">
        <v>60</v>
      </c>
      <c r="B13" s="29" t="n">
        <v>1.5</v>
      </c>
    </row>
    <row r="14" customFormat="false" ht="15" hidden="false" customHeight="true" outlineLevel="0" collapsed="false">
      <c r="A14" s="14" t="s">
        <v>42</v>
      </c>
      <c r="B14" s="14" t="str">
        <f aca="false">IF(B9&lt;B8,"insufficient",IF(AND(B10&gt;=B13,B11&lt;0.05),"red",IF(B10&gt;=B12,"amber","green")))</f>
        <v>red</v>
      </c>
      <c r="C14" s="22" t="s">
        <v>61</v>
      </c>
    </row>
  </sheetData>
  <conditionalFormatting sqref="B14">
    <cfRule type="expression" priority="2" aboveAverage="0" equalAverage="0" bottom="0" percent="0" rank="0" text="" dxfId="0">
      <formula>EXACT(B14,"red")</formula>
    </cfRule>
    <cfRule type="expression" priority="3" aboveAverage="0" equalAverage="0" bottom="0" percent="0" rank="0" text="" dxfId="1">
      <formula>EXACT(B14,"amber")</formula>
    </cfRule>
    <cfRule type="expression" priority="4" aboveAverage="0" equalAverage="0" bottom="0" percent="0" rank="0" text="" dxfId="2">
      <formula>EXACT(B14,"green")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"/>
    <col collapsed="false" customWidth="true" hidden="false" outlineLevel="0" max="9" min="3" style="1" width="10"/>
  </cols>
  <sheetData>
    <row r="1" customFormat="false" ht="17.25" hidden="false" customHeight="true" outlineLevel="0" collapsed="false">
      <c r="A1" s="7" t="s">
        <v>62</v>
      </c>
    </row>
    <row r="2" customFormat="false" ht="15" hidden="false" customHeight="true" outlineLevel="0" collapsed="false">
      <c r="A2" s="22" t="s">
        <v>63</v>
      </c>
    </row>
    <row r="4" customFormat="false" ht="15" hidden="false" customHeight="true" outlineLevel="0" collapsed="false">
      <c r="A4" s="8" t="s">
        <v>64</v>
      </c>
    </row>
    <row r="5" customFormat="false" ht="26.25" hidden="false" customHeight="true" outlineLevel="0" collapsed="false">
      <c r="A5" s="30" t="s">
        <v>65</v>
      </c>
      <c r="B5" s="30" t="s">
        <v>66</v>
      </c>
      <c r="C5" s="30" t="s">
        <v>67</v>
      </c>
      <c r="D5" s="30" t="s">
        <v>68</v>
      </c>
      <c r="E5" s="30" t="s">
        <v>69</v>
      </c>
      <c r="F5" s="30" t="s">
        <v>70</v>
      </c>
      <c r="G5" s="30" t="s">
        <v>71</v>
      </c>
      <c r="H5" s="30" t="s">
        <v>72</v>
      </c>
    </row>
    <row r="6" customFormat="false" ht="15" hidden="false" customHeight="true" outlineLevel="0" collapsed="false">
      <c r="A6" s="9" t="s">
        <v>73</v>
      </c>
      <c r="B6" s="9" t="n">
        <v>96</v>
      </c>
      <c r="C6" s="9" t="n">
        <v>2</v>
      </c>
      <c r="D6" s="9" t="n">
        <v>4</v>
      </c>
      <c r="E6" s="9" t="n">
        <v>6</v>
      </c>
      <c r="F6" s="9" t="n">
        <v>8</v>
      </c>
      <c r="G6" s="9" t="n">
        <v>9</v>
      </c>
      <c r="H6" s="9" t="n">
        <v>10</v>
      </c>
    </row>
    <row r="7" customFormat="false" ht="15" hidden="false" customHeight="true" outlineLevel="0" collapsed="false">
      <c r="A7" s="9" t="s">
        <v>74</v>
      </c>
      <c r="B7" s="9" t="n">
        <v>104</v>
      </c>
      <c r="C7" s="9" t="n">
        <v>1</v>
      </c>
      <c r="D7" s="9" t="n">
        <v>4</v>
      </c>
      <c r="E7" s="9" t="n">
        <v>7</v>
      </c>
      <c r="F7" s="9" t="n">
        <v>8</v>
      </c>
      <c r="G7" s="9" t="n">
        <v>10</v>
      </c>
      <c r="H7" s="9" t="n">
        <v>11</v>
      </c>
    </row>
    <row r="8" customFormat="false" ht="15" hidden="false" customHeight="true" outlineLevel="0" collapsed="false">
      <c r="A8" s="9" t="s">
        <v>75</v>
      </c>
      <c r="B8" s="9" t="n">
        <v>99</v>
      </c>
      <c r="C8" s="9" t="n">
        <v>2</v>
      </c>
      <c r="D8" s="9" t="n">
        <v>5</v>
      </c>
      <c r="E8" s="9" t="n">
        <v>6</v>
      </c>
      <c r="F8" s="9" t="n">
        <v>8</v>
      </c>
      <c r="G8" s="9" t="n">
        <v>10</v>
      </c>
      <c r="H8" s="9"/>
    </row>
    <row r="9" customFormat="false" ht="15" hidden="false" customHeight="true" outlineLevel="0" collapsed="false">
      <c r="A9" s="9" t="s">
        <v>76</v>
      </c>
      <c r="B9" s="9" t="n">
        <v>110</v>
      </c>
      <c r="C9" s="9" t="n">
        <v>2</v>
      </c>
      <c r="D9" s="9" t="n">
        <v>4</v>
      </c>
      <c r="E9" s="9" t="n">
        <v>6</v>
      </c>
      <c r="F9" s="9" t="n">
        <v>9</v>
      </c>
      <c r="G9" s="9"/>
      <c r="H9" s="9"/>
    </row>
    <row r="10" customFormat="false" ht="15" hidden="false" customHeight="true" outlineLevel="0" collapsed="false">
      <c r="A10" s="9" t="s">
        <v>77</v>
      </c>
      <c r="B10" s="9" t="n">
        <v>101</v>
      </c>
      <c r="C10" s="9" t="n">
        <v>1</v>
      </c>
      <c r="D10" s="9" t="n">
        <v>5</v>
      </c>
      <c r="E10" s="9" t="n">
        <v>7</v>
      </c>
      <c r="F10" s="9"/>
      <c r="G10" s="9"/>
      <c r="H10" s="9"/>
    </row>
    <row r="11" customFormat="false" ht="15" hidden="false" customHeight="true" outlineLevel="0" collapsed="false">
      <c r="A11" s="9" t="s">
        <v>78</v>
      </c>
      <c r="B11" s="9" t="n">
        <v>107</v>
      </c>
      <c r="C11" s="9" t="n">
        <v>3</v>
      </c>
      <c r="D11" s="9" t="n">
        <v>7</v>
      </c>
      <c r="E11" s="9" t="n">
        <v>10</v>
      </c>
      <c r="F11" s="9"/>
      <c r="G11" s="9"/>
      <c r="H11" s="9"/>
    </row>
    <row r="12" customFormat="false" ht="15" hidden="false" customHeight="true" outlineLevel="0" collapsed="false">
      <c r="A12" s="9" t="s">
        <v>79</v>
      </c>
      <c r="B12" s="9" t="n">
        <v>98</v>
      </c>
      <c r="C12" s="9" t="n">
        <v>2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A13" s="22" t="s">
        <v>80</v>
      </c>
    </row>
    <row r="15" customFormat="false" ht="15" hidden="false" customHeight="true" outlineLevel="0" collapsed="false">
      <c r="A15" s="8" t="s">
        <v>81</v>
      </c>
    </row>
    <row r="16" customFormat="false" ht="26.25" hidden="false" customHeight="true" outlineLevel="0" collapsed="false">
      <c r="A16" s="30" t="s">
        <v>65</v>
      </c>
      <c r="B16" s="30" t="s">
        <v>66</v>
      </c>
      <c r="C16" s="30" t="s">
        <v>67</v>
      </c>
      <c r="D16" s="30" t="s">
        <v>68</v>
      </c>
      <c r="E16" s="30" t="s">
        <v>69</v>
      </c>
      <c r="F16" s="30" t="s">
        <v>70</v>
      </c>
      <c r="G16" s="30" t="s">
        <v>71</v>
      </c>
      <c r="H16" s="30" t="s">
        <v>72</v>
      </c>
    </row>
    <row r="17" customFormat="false" ht="15" hidden="false" customHeight="true" outlineLevel="0" collapsed="false">
      <c r="A17" s="19" t="str">
        <f aca="false">A6</f>
        <v>2024 Q2</v>
      </c>
      <c r="B17" s="19" t="n">
        <f aca="false">B6</f>
        <v>96</v>
      </c>
      <c r="C17" s="12" t="n">
        <f aca="false">IF(C6="","",C6/$B6)</f>
        <v>0.0208333333333333</v>
      </c>
      <c r="D17" s="12" t="n">
        <f aca="false">IF(D6="","",D6/$B6)</f>
        <v>0.0416666666666667</v>
      </c>
      <c r="E17" s="12" t="n">
        <f aca="false">IF(E6="","",E6/$B6)</f>
        <v>0.0625</v>
      </c>
      <c r="F17" s="12" t="n">
        <f aca="false">IF(F6="","",F6/$B6)</f>
        <v>0.0833333333333333</v>
      </c>
      <c r="G17" s="12" t="n">
        <f aca="false">IF(G6="","",G6/$B6)</f>
        <v>0.09375</v>
      </c>
      <c r="H17" s="12" t="n">
        <f aca="false">IF(H6="","",H6/$B6)</f>
        <v>0.104166666666667</v>
      </c>
    </row>
    <row r="18" customFormat="false" ht="15" hidden="false" customHeight="true" outlineLevel="0" collapsed="false">
      <c r="A18" s="19" t="str">
        <f aca="false">A7</f>
        <v>2024 Q3</v>
      </c>
      <c r="B18" s="19" t="n">
        <f aca="false">B7</f>
        <v>104</v>
      </c>
      <c r="C18" s="12" t="n">
        <f aca="false">IF(C7="","",C7/$B7)</f>
        <v>0.00961538461538462</v>
      </c>
      <c r="D18" s="12" t="n">
        <f aca="false">IF(D7="","",D7/$B7)</f>
        <v>0.0384615384615385</v>
      </c>
      <c r="E18" s="12" t="n">
        <f aca="false">IF(E7="","",E7/$B7)</f>
        <v>0.0673076923076923</v>
      </c>
      <c r="F18" s="12" t="n">
        <f aca="false">IF(F7="","",F7/$B7)</f>
        <v>0.0769230769230769</v>
      </c>
      <c r="G18" s="12" t="n">
        <f aca="false">IF(G7="","",G7/$B7)</f>
        <v>0.0961538461538462</v>
      </c>
      <c r="H18" s="12" t="n">
        <f aca="false">IF(H7="","",H7/$B7)</f>
        <v>0.105769230769231</v>
      </c>
    </row>
    <row r="19" customFormat="false" ht="15" hidden="false" customHeight="true" outlineLevel="0" collapsed="false">
      <c r="A19" s="19" t="str">
        <f aca="false">A8</f>
        <v>2024 Q4</v>
      </c>
      <c r="B19" s="19" t="n">
        <f aca="false">B8</f>
        <v>99</v>
      </c>
      <c r="C19" s="12" t="n">
        <f aca="false">IF(C8="","",C8/$B8)</f>
        <v>0.0202020202020202</v>
      </c>
      <c r="D19" s="12" t="n">
        <f aca="false">IF(D8="","",D8/$B8)</f>
        <v>0.0505050505050505</v>
      </c>
      <c r="E19" s="12" t="n">
        <f aca="false">IF(E8="","",E8/$B8)</f>
        <v>0.0606060606060606</v>
      </c>
      <c r="F19" s="12" t="n">
        <f aca="false">IF(F8="","",F8/$B8)</f>
        <v>0.0808080808080808</v>
      </c>
      <c r="G19" s="12" t="n">
        <f aca="false">IF(G8="","",G8/$B8)</f>
        <v>0.101010101010101</v>
      </c>
      <c r="H19" s="12" t="str">
        <f aca="false">IF(H8="","",H8/$B8)</f>
        <v/>
      </c>
    </row>
    <row r="20" customFormat="false" ht="15" hidden="false" customHeight="true" outlineLevel="0" collapsed="false">
      <c r="A20" s="19" t="str">
        <f aca="false">A9</f>
        <v>2025 Q1</v>
      </c>
      <c r="B20" s="19" t="n">
        <f aca="false">B9</f>
        <v>110</v>
      </c>
      <c r="C20" s="12" t="n">
        <f aca="false">IF(C9="","",C9/$B9)</f>
        <v>0.0181818181818182</v>
      </c>
      <c r="D20" s="12" t="n">
        <f aca="false">IF(D9="","",D9/$B9)</f>
        <v>0.0363636363636364</v>
      </c>
      <c r="E20" s="12" t="n">
        <f aca="false">IF(E9="","",E9/$B9)</f>
        <v>0.0545454545454545</v>
      </c>
      <c r="F20" s="12" t="n">
        <f aca="false">IF(F9="","",F9/$B9)</f>
        <v>0.0818181818181818</v>
      </c>
      <c r="G20" s="12" t="str">
        <f aca="false">IF(G9="","",G9/$B9)</f>
        <v/>
      </c>
      <c r="H20" s="12" t="str">
        <f aca="false">IF(H9="","",H9/$B9)</f>
        <v/>
      </c>
    </row>
    <row r="21" customFormat="false" ht="15" hidden="false" customHeight="true" outlineLevel="0" collapsed="false">
      <c r="A21" s="19" t="str">
        <f aca="false">A10</f>
        <v>2025 Q2</v>
      </c>
      <c r="B21" s="19" t="n">
        <f aca="false">B10</f>
        <v>101</v>
      </c>
      <c r="C21" s="12" t="n">
        <f aca="false">IF(C10="","",C10/$B10)</f>
        <v>0.0099009900990099</v>
      </c>
      <c r="D21" s="12" t="n">
        <f aca="false">IF(D10="","",D10/$B10)</f>
        <v>0.0495049504950495</v>
      </c>
      <c r="E21" s="12" t="n">
        <f aca="false">IF(E10="","",E10/$B10)</f>
        <v>0.0693069306930693</v>
      </c>
      <c r="F21" s="12" t="str">
        <f aca="false">IF(F10="","",F10/$B10)</f>
        <v/>
      </c>
      <c r="G21" s="12" t="str">
        <f aca="false">IF(G10="","",G10/$B10)</f>
        <v/>
      </c>
      <c r="H21" s="12" t="str">
        <f aca="false">IF(H10="","",H10/$B10)</f>
        <v/>
      </c>
    </row>
    <row r="22" customFormat="false" ht="15" hidden="false" customHeight="true" outlineLevel="0" collapsed="false">
      <c r="A22" s="19" t="str">
        <f aca="false">A11</f>
        <v>2025 Q3</v>
      </c>
      <c r="B22" s="19" t="n">
        <f aca="false">B11</f>
        <v>107</v>
      </c>
      <c r="C22" s="12" t="n">
        <f aca="false">IF(C11="","",C11/$B11)</f>
        <v>0.0280373831775701</v>
      </c>
      <c r="D22" s="12" t="n">
        <f aca="false">IF(D11="","",D11/$B11)</f>
        <v>0.0654205607476635</v>
      </c>
      <c r="E22" s="12" t="n">
        <f aca="false">IF(E11="","",E11/$B11)</f>
        <v>0.0934579439252336</v>
      </c>
      <c r="F22" s="12" t="str">
        <f aca="false">IF(F11="","",F11/$B11)</f>
        <v/>
      </c>
      <c r="G22" s="12" t="str">
        <f aca="false">IF(G11="","",G11/$B11)</f>
        <v/>
      </c>
      <c r="H22" s="12" t="str">
        <f aca="false">IF(H11="","",H11/$B11)</f>
        <v/>
      </c>
    </row>
    <row r="23" customFormat="false" ht="15" hidden="false" customHeight="true" outlineLevel="0" collapsed="false">
      <c r="A23" s="19" t="str">
        <f aca="false">A12</f>
        <v>2025 Q4</v>
      </c>
      <c r="B23" s="19" t="n">
        <f aca="false">B12</f>
        <v>98</v>
      </c>
      <c r="C23" s="12" t="n">
        <f aca="false">IF(C12="","",C12/$B12)</f>
        <v>0.0204081632653061</v>
      </c>
      <c r="D23" s="12" t="str">
        <f aca="false">IF(D12="","",D12/$B12)</f>
        <v/>
      </c>
      <c r="E23" s="12" t="str">
        <f aca="false">IF(E12="","",E12/$B12)</f>
        <v/>
      </c>
      <c r="F23" s="12" t="str">
        <f aca="false">IF(F12="","",F12/$B12)</f>
        <v/>
      </c>
      <c r="G23" s="12" t="str">
        <f aca="false">IF(G12="","",G12/$B12)</f>
        <v/>
      </c>
      <c r="H23" s="12" t="str">
        <f aca="false">IF(H12="","",H12/$B12)</f>
        <v/>
      </c>
    </row>
    <row r="24" customFormat="false" ht="15" hidden="false" customHeight="false" outlineLevel="0" collapsed="false">
      <c r="A24" s="31" t="s">
        <v>82</v>
      </c>
    </row>
    <row r="25" customFormat="false" ht="15" hidden="false" customHeight="true" outlineLevel="0" collapsed="false">
      <c r="A25" s="8" t="s">
        <v>83</v>
      </c>
    </row>
    <row r="26" customFormat="false" ht="15" hidden="false" customHeight="true" outlineLevel="0" collapsed="false">
      <c r="A26" s="30" t="s">
        <v>65</v>
      </c>
      <c r="B26" s="30" t="s">
        <v>84</v>
      </c>
      <c r="C26" s="30" t="s">
        <v>67</v>
      </c>
      <c r="D26" s="30" t="s">
        <v>68</v>
      </c>
      <c r="E26" s="30" t="s">
        <v>69</v>
      </c>
      <c r="F26" s="30" t="s">
        <v>70</v>
      </c>
      <c r="G26" s="30" t="s">
        <v>71</v>
      </c>
      <c r="H26" s="30" t="s">
        <v>72</v>
      </c>
      <c r="I26" s="30" t="s">
        <v>42</v>
      </c>
    </row>
    <row r="27" customFormat="false" ht="15" hidden="false" customHeight="true" outlineLevel="0" collapsed="false">
      <c r="A27" s="19" t="str">
        <f aca="false">A6</f>
        <v>2024 Q2</v>
      </c>
      <c r="B27" s="32" t="str">
        <f aca="false">IF(COUNT(C27:H27)=0,"",MAX(C27:H27))</f>
        <v/>
      </c>
      <c r="C27" s="28" t="str">
        <f aca="false">""</f>
        <v/>
      </c>
      <c r="D27" s="28" t="str">
        <f aca="false">""</f>
        <v/>
      </c>
      <c r="E27" s="28" t="str">
        <f aca="false">""</f>
        <v/>
      </c>
      <c r="F27" s="28" t="str">
        <f aca="false">""</f>
        <v/>
      </c>
      <c r="G27" s="28" t="str">
        <f aca="false">""</f>
        <v/>
      </c>
      <c r="H27" s="28" t="str">
        <f aca="false">""</f>
        <v/>
      </c>
      <c r="I27" s="14" t="str">
        <f aca="false">IF(B27="","n/a",IF(B27&gt;=$B$36,"red",IF(B27&gt;=$B$35,"amber","green")))</f>
        <v>n/a</v>
      </c>
    </row>
    <row r="28" customFormat="false" ht="15" hidden="false" customHeight="true" outlineLevel="0" collapsed="false">
      <c r="A28" s="19" t="str">
        <f aca="false">A7</f>
        <v>2024 Q3</v>
      </c>
      <c r="B28" s="32" t="n">
        <f aca="false">IF(COUNT(C28:H28)=0,"",MAX(C28:H28))</f>
        <v>1.07692307692308</v>
      </c>
      <c r="C28" s="28" t="n">
        <f aca="false">IF(OR(C18="",COUNT(C$17:C17)=0),"",C18/AVERAGE(C$17:C17))</f>
        <v>0.461538461538462</v>
      </c>
      <c r="D28" s="28" t="n">
        <f aca="false">IF(OR(D18="",COUNT(D$17:D17)=0),"",D18/AVERAGE(D$17:D17))</f>
        <v>0.923076923076923</v>
      </c>
      <c r="E28" s="28" t="n">
        <f aca="false">IF(OR(E18="",COUNT(E$17:E17)=0),"",E18/AVERAGE(E$17:E17))</f>
        <v>1.07692307692308</v>
      </c>
      <c r="F28" s="28" t="n">
        <f aca="false">IF(OR(F18="",COUNT(F$17:F17)=0),"",F18/AVERAGE(F$17:F17))</f>
        <v>0.923076923076923</v>
      </c>
      <c r="G28" s="28" t="n">
        <f aca="false">IF(OR(G18="",COUNT(G$17:G17)=0),"",G18/AVERAGE(G$17:G17))</f>
        <v>1.02564102564103</v>
      </c>
      <c r="H28" s="28" t="n">
        <f aca="false">IF(OR(H18="",COUNT(H$17:H17)=0),"",H18/AVERAGE(H$17:H17))</f>
        <v>1.01538461538462</v>
      </c>
      <c r="I28" s="14" t="str">
        <f aca="false">IF(B28="","n/a",IF(B28&gt;=$B$36,"red",IF(B28&gt;=$B$35,"amber","green")))</f>
        <v>green</v>
      </c>
    </row>
    <row r="29" customFormat="false" ht="15" hidden="false" customHeight="true" outlineLevel="0" collapsed="false">
      <c r="A29" s="19" t="str">
        <f aca="false">A8</f>
        <v>2024 Q4</v>
      </c>
      <c r="B29" s="32" t="n">
        <f aca="false">IF(COUNT(C29:H29)=0,"",MAX(C29:H29))</f>
        <v>1.32695374800638</v>
      </c>
      <c r="C29" s="28" t="n">
        <f aca="false">IF(OR(C19="",COUNT(C$17:C18)=0),"",C19/AVERAGE(C$17:C18))</f>
        <v>1.32695374800638</v>
      </c>
      <c r="D29" s="28" t="n">
        <f aca="false">IF(OR(D19="",COUNT(D$17:D18)=0),"",D19/AVERAGE(D$17:D18))</f>
        <v>1.26060606060606</v>
      </c>
      <c r="E29" s="28" t="n">
        <f aca="false">IF(OR(E19="",COUNT(E$17:E18)=0),"",E19/AVERAGE(E$17:E18))</f>
        <v>0.933782267115601</v>
      </c>
      <c r="F29" s="28" t="n">
        <f aca="false">IF(OR(F19="",COUNT(F$17:F18)=0),"",F19/AVERAGE(F$17:F18))</f>
        <v>1.00848484848485</v>
      </c>
      <c r="G29" s="28" t="n">
        <f aca="false">IF(OR(G19="",COUNT(G$17:G18)=0),"",G19/AVERAGE(G$17:G18))</f>
        <v>1.06380258278992</v>
      </c>
      <c r="H29" s="28" t="str">
        <f aca="false">IF(OR(H19="",COUNT(H$17:H18)=0),"",H19/AVERAGE(H$17:H18))</f>
        <v/>
      </c>
      <c r="I29" s="14" t="str">
        <f aca="false">IF(B29="","n/a",IF(B29&gt;=$B$36,"red",IF(B29&gt;=$B$35,"amber","green")))</f>
        <v>amber</v>
      </c>
    </row>
    <row r="30" customFormat="false" ht="15" hidden="false" customHeight="true" outlineLevel="0" collapsed="false">
      <c r="A30" s="19" t="str">
        <f aca="false">A9</f>
        <v>2025 Q1</v>
      </c>
      <c r="B30" s="32" t="n">
        <f aca="false">IF(COUNT(C30:H30)=0,"",MAX(C30:H30))</f>
        <v>1.07689357622244</v>
      </c>
      <c r="C30" s="28" t="n">
        <f aca="false">IF(OR(C20="",COUNT(C$17:C19)=0),"",C20/AVERAGE(C$17:C19))</f>
        <v>1.07689357622244</v>
      </c>
      <c r="D30" s="28" t="n">
        <f aca="false">IF(OR(D20="",COUNT(D$17:D19)=0),"",D20/AVERAGE(D$17:D19))</f>
        <v>0.835092936802974</v>
      </c>
      <c r="E30" s="28" t="n">
        <f aca="false">IF(OR(E20="",COUNT(E$17:E19)=0),"",E20/AVERAGE(E$17:E19))</f>
        <v>0.859372609028309</v>
      </c>
      <c r="F30" s="28" t="n">
        <f aca="false">IF(OR(F20="",COUNT(F$17:F19)=0),"",F20/AVERAGE(F$17:F19))</f>
        <v>1.01821112006446</v>
      </c>
      <c r="G30" s="28" t="str">
        <f aca="false">IF(OR(G20="",COUNT(G$17:G19)=0),"",G20/AVERAGE(G$17:G19))</f>
        <v/>
      </c>
      <c r="H30" s="28" t="str">
        <f aca="false">IF(OR(H20="",COUNT(H$17:H19)=0),"",H20/AVERAGE(H$17:H19))</f>
        <v/>
      </c>
      <c r="I30" s="14" t="str">
        <f aca="false">IF(B30="","n/a",IF(B30&gt;=$B$36,"red",IF(B30&gt;=$B$35,"amber","green")))</f>
        <v>green</v>
      </c>
    </row>
    <row r="31" customFormat="false" ht="15" hidden="false" customHeight="true" outlineLevel="0" collapsed="false">
      <c r="A31" s="19" t="str">
        <f aca="false">A10</f>
        <v>2025 Q2</v>
      </c>
      <c r="B31" s="32" t="n">
        <f aca="false">IF(COUNT(C31:H31)=0,"",MAX(C31:H31))</f>
        <v>1.18576938536008</v>
      </c>
      <c r="C31" s="28" t="n">
        <f aca="false">IF(OR(C21="",COUNT(C$17:C20)=0),"",C21/AVERAGE(C$17:C20))</f>
        <v>0.575366694281958</v>
      </c>
      <c r="D31" s="28" t="n">
        <f aca="false">IF(OR(D21="",COUNT(D$17:D20)=0),"",D21/AVERAGE(D$17:D20))</f>
        <v>1.18576938536008</v>
      </c>
      <c r="E31" s="28" t="n">
        <f aca="false">IF(OR(E21="",COUNT(E$17:E20)=0),"",E21/AVERAGE(E$17:E20))</f>
        <v>1.13173015886102</v>
      </c>
      <c r="F31" s="28" t="str">
        <f aca="false">IF(OR(F21="",COUNT(F$17:F20)=0),"",F21/AVERAGE(F$17:F20))</f>
        <v/>
      </c>
      <c r="G31" s="28" t="str">
        <f aca="false">IF(OR(G21="",COUNT(G$17:G20)=0),"",G21/AVERAGE(G$17:G20))</f>
        <v/>
      </c>
      <c r="H31" s="28" t="str">
        <f aca="false">IF(OR(H21="",COUNT(H$17:H20)=0),"",H21/AVERAGE(H$17:H20))</f>
        <v/>
      </c>
      <c r="I31" s="14" t="str">
        <f aca="false">IF(B31="","n/a",IF(B31&gt;=$B$36,"red",IF(B31&gt;=$B$35,"amber","green")))</f>
        <v>green</v>
      </c>
    </row>
    <row r="32" customFormat="false" ht="15" hidden="false" customHeight="true" outlineLevel="0" collapsed="false">
      <c r="A32" s="19" t="str">
        <f aca="false">A11</f>
        <v>2025 Q3</v>
      </c>
      <c r="B32" s="32" t="n">
        <f aca="false">IF(COUNT(C32:H32)=0,"",MAX(C32:H32))</f>
        <v>1.78052332508226</v>
      </c>
      <c r="C32" s="28" t="n">
        <f aca="false">IF(OR(C22="",COUNT(C$17:C21)=0),"",C22/AVERAGE(C$17:C21))</f>
        <v>1.78052332508226</v>
      </c>
      <c r="D32" s="28" t="n">
        <f aca="false">IF(OR(D22="",COUNT(D$17:D21)=0),"",D22/AVERAGE(D$17:D21))</f>
        <v>1.51085459584711</v>
      </c>
      <c r="E32" s="28" t="n">
        <f aca="false">IF(OR(E22="",COUNT(E$17:E21)=0),"",E22/AVERAGE(E$17:E21))</f>
        <v>1.48692354312683</v>
      </c>
      <c r="F32" s="28" t="str">
        <f aca="false">IF(OR(F22="",COUNT(F$17:F21)=0),"",F22/AVERAGE(F$17:F21))</f>
        <v/>
      </c>
      <c r="G32" s="28" t="str">
        <f aca="false">IF(OR(G22="",COUNT(G$17:G21)=0),"",G22/AVERAGE(G$17:G21))</f>
        <v/>
      </c>
      <c r="H32" s="28" t="str">
        <f aca="false">IF(OR(H22="",COUNT(H$17:H21)=0),"",H22/AVERAGE(H$17:H21))</f>
        <v/>
      </c>
      <c r="I32" s="14" t="str">
        <f aca="false">IF(B32="","n/a",IF(B32&gt;=$B$36,"red",IF(B32&gt;=$B$35,"amber","green")))</f>
        <v>red</v>
      </c>
    </row>
    <row r="33" customFormat="false" ht="15" hidden="false" customHeight="true" outlineLevel="0" collapsed="false">
      <c r="A33" s="19" t="str">
        <f aca="false">A12</f>
        <v>2025 Q4</v>
      </c>
      <c r="B33" s="32" t="n">
        <f aca="false">IF(COUNT(C33:H33)=0,"",MAX(C33:H33))</f>
        <v>1.14683818938445</v>
      </c>
      <c r="C33" s="28" t="n">
        <f aca="false">IF(OR(C23="",COUNT(C$17:C22)=0),"",C23/AVERAGE(C$17:C22))</f>
        <v>1.14683818938445</v>
      </c>
      <c r="D33" s="28" t="str">
        <f aca="false">IF(OR(D23="",COUNT(D$17:D22)=0),"",D23/AVERAGE(D$17:D22))</f>
        <v/>
      </c>
      <c r="E33" s="28" t="str">
        <f aca="false">IF(OR(E23="",COUNT(E$17:E22)=0),"",E23/AVERAGE(E$17:E22))</f>
        <v/>
      </c>
      <c r="F33" s="28" t="str">
        <f aca="false">IF(OR(F23="",COUNT(F$17:F22)=0),"",F23/AVERAGE(F$17:F22))</f>
        <v/>
      </c>
      <c r="G33" s="28" t="str">
        <f aca="false">IF(OR(G23="",COUNT(G$17:G22)=0),"",G23/AVERAGE(G$17:G22))</f>
        <v/>
      </c>
      <c r="H33" s="28" t="str">
        <f aca="false">IF(OR(H23="",COUNT(H$17:H22)=0),"",H23/AVERAGE(H$17:H22))</f>
        <v/>
      </c>
      <c r="I33" s="14" t="str">
        <f aca="false">IF(B33="","n/a",IF(B33&gt;=$B$36,"red",IF(B33&gt;=$B$35,"amber","green")))</f>
        <v>green</v>
      </c>
    </row>
    <row r="35" customFormat="false" ht="15" hidden="false" customHeight="true" outlineLevel="0" collapsed="false">
      <c r="A35" s="5" t="s">
        <v>85</v>
      </c>
      <c r="B35" s="33" t="n">
        <v>1.25</v>
      </c>
    </row>
    <row r="36" customFormat="false" ht="15" hidden="false" customHeight="true" outlineLevel="0" collapsed="false">
      <c r="A36" s="5" t="s">
        <v>86</v>
      </c>
      <c r="B36" s="33" t="n">
        <v>1.5</v>
      </c>
    </row>
    <row r="37" customFormat="false" ht="15" hidden="false" customHeight="true" outlineLevel="0" collapsed="false">
      <c r="A37" s="22" t="s">
        <v>87</v>
      </c>
    </row>
  </sheetData>
  <conditionalFormatting sqref="I27:I33">
    <cfRule type="expression" priority="2" aboveAverage="0" equalAverage="0" bottom="0" percent="0" rank="0" text="" dxfId="0">
      <formula>EXACT(I27,"red")</formula>
    </cfRule>
    <cfRule type="expression" priority="3" aboveAverage="0" equalAverage="0" bottom="0" percent="0" rank="0" text="" dxfId="1">
      <formula>EXACT(I27,"amber")</formula>
    </cfRule>
    <cfRule type="expression" priority="4" aboveAverage="0" equalAverage="0" bottom="0" percent="0" rank="0" text="" dxfId="2">
      <formula>EXACT(I27,"green")</formula>
    </cfRule>
  </conditionalFormatting>
  <conditionalFormatting sqref="C17:H23">
    <cfRule type="colorScale" priority="5">
      <colorScale>
        <cfvo type="num" val="0"/>
        <cfvo type="max" val="0"/>
        <color rgb="FFFFFFFF"/>
        <color rgb="FFF4A58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</cols>
  <sheetData>
    <row r="1" customFormat="false" ht="17.25" hidden="false" customHeight="true" outlineLevel="0" collapsed="false">
      <c r="A1" s="7" t="s">
        <v>88</v>
      </c>
    </row>
    <row r="2" customFormat="false" ht="15" hidden="false" customHeight="true" outlineLevel="0" collapsed="false">
      <c r="A2" s="5" t="s">
        <v>89</v>
      </c>
    </row>
    <row r="4" customFormat="false" ht="26.25" hidden="false" customHeight="true" outlineLevel="0" collapsed="false">
      <c r="A4" s="10"/>
      <c r="B4" s="10" t="s">
        <v>90</v>
      </c>
      <c r="C4" s="10" t="s">
        <v>91</v>
      </c>
    </row>
    <row r="5" customFormat="false" ht="15" hidden="false" customHeight="true" outlineLevel="0" collapsed="false">
      <c r="A5" s="19" t="s">
        <v>92</v>
      </c>
      <c r="B5" s="25" t="n">
        <v>537.3</v>
      </c>
      <c r="C5" s="25" t="n">
        <v>662.7</v>
      </c>
    </row>
    <row r="6" customFormat="false" ht="15" hidden="false" customHeight="true" outlineLevel="0" collapsed="false">
      <c r="A6" s="19" t="s">
        <v>93</v>
      </c>
      <c r="B6" s="25" t="n">
        <v>352.3</v>
      </c>
      <c r="C6" s="25" t="n">
        <v>487.7</v>
      </c>
    </row>
    <row r="7" customFormat="false" ht="15" hidden="false" customHeight="true" outlineLevel="0" collapsed="false">
      <c r="A7" s="19" t="s">
        <v>94</v>
      </c>
      <c r="B7" s="12" t="n">
        <f aca="false">B6/B5</f>
        <v>0.655685836590359</v>
      </c>
      <c r="C7" s="12" t="n">
        <f aca="false">C6/C5</f>
        <v>0.7359287762185</v>
      </c>
    </row>
    <row r="9" customFormat="false" ht="15" hidden="false" customHeight="true" outlineLevel="0" collapsed="false">
      <c r="A9" s="14" t="s">
        <v>95</v>
      </c>
      <c r="B9" s="18" t="n">
        <f aca="false">B7/C7</f>
        <v>0.890963715211054</v>
      </c>
    </row>
    <row r="10" customFormat="false" ht="15" hidden="false" customHeight="true" outlineLevel="0" collapsed="false">
      <c r="A10" s="19" t="s">
        <v>96</v>
      </c>
      <c r="B10" s="12" t="n">
        <f aca="false">(B6+C6)/(B5+C5)</f>
        <v>0.7</v>
      </c>
    </row>
    <row r="11" customFormat="false" ht="15" hidden="false" customHeight="true" outlineLevel="0" collapsed="false">
      <c r="A11" s="19" t="s">
        <v>97</v>
      </c>
      <c r="B11" s="34" t="n">
        <f aca="false">(B7-C7)/SQRT(B10*(1-B10)*(1/B5+1/C5))</f>
        <v>-3.01629257813062</v>
      </c>
    </row>
    <row r="12" customFormat="false" ht="15" hidden="false" customHeight="true" outlineLevel="0" collapsed="false">
      <c r="A12" s="19" t="s">
        <v>98</v>
      </c>
      <c r="B12" s="13" t="n">
        <f aca="false">2*(1-NORMSDIST(ABS(B11)))</f>
        <v>0.00255886222133861</v>
      </c>
    </row>
    <row r="13" customFormat="false" ht="15" hidden="false" customHeight="true" outlineLevel="0" collapsed="false">
      <c r="A13" s="19" t="s">
        <v>99</v>
      </c>
      <c r="B13" s="24" t="n">
        <v>0.9</v>
      </c>
    </row>
    <row r="14" customFormat="false" ht="15" hidden="false" customHeight="true" outlineLevel="0" collapsed="false">
      <c r="A14" s="19" t="s">
        <v>100</v>
      </c>
      <c r="B14" s="24" t="n">
        <v>0.8</v>
      </c>
    </row>
    <row r="15" customFormat="false" ht="15" hidden="false" customHeight="true" outlineLevel="0" collapsed="false">
      <c r="A15" s="14" t="s">
        <v>42</v>
      </c>
      <c r="B15" s="14" t="str">
        <f aca="false">IF(B9&lt;B14,"red",IF(B9&lt;B13,"amber","green"))</f>
        <v>amber</v>
      </c>
      <c r="C15" s="22" t="s">
        <v>101</v>
      </c>
    </row>
  </sheetData>
  <conditionalFormatting sqref="B15">
    <cfRule type="expression" priority="2" aboveAverage="0" equalAverage="0" bottom="0" percent="0" rank="0" text="" dxfId="0">
      <formula>EXACT(B15,"red")</formula>
    </cfRule>
    <cfRule type="expression" priority="3" aboveAverage="0" equalAverage="0" bottom="0" percent="0" rank="0" text="" dxfId="1">
      <formula>EXACT(B15,"amber")</formula>
    </cfRule>
    <cfRule type="expression" priority="4" aboveAverage="0" equalAverage="0" bottom="0" percent="0" rank="0" text="" dxfId="2">
      <formula>EXACT(B15,"green")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34"/>
  </cols>
  <sheetData>
    <row r="1" customFormat="false" ht="17.25" hidden="false" customHeight="true" outlineLevel="0" collapsed="false">
      <c r="A1" s="7" t="s">
        <v>102</v>
      </c>
    </row>
    <row r="2" customFormat="false" ht="15" hidden="false" customHeight="true" outlineLevel="0" collapsed="false">
      <c r="A2" s="5" t="s">
        <v>103</v>
      </c>
    </row>
    <row r="4" customFormat="false" ht="15" hidden="false" customHeight="true" outlineLevel="0" collapsed="false">
      <c r="A4" s="10" t="s">
        <v>104</v>
      </c>
      <c r="B4" s="10" t="s">
        <v>105</v>
      </c>
      <c r="C4" s="10" t="s">
        <v>106</v>
      </c>
      <c r="D4" s="10" t="s">
        <v>107</v>
      </c>
      <c r="E4" s="10" t="s">
        <v>108</v>
      </c>
      <c r="F4" s="10" t="s">
        <v>109</v>
      </c>
      <c r="G4" s="10" t="s">
        <v>110</v>
      </c>
    </row>
    <row r="5" customFormat="false" ht="39" hidden="false" customHeight="true" outlineLevel="0" collapsed="false">
      <c r="A5" s="35" t="s">
        <v>111</v>
      </c>
      <c r="B5" s="35" t="s">
        <v>112</v>
      </c>
      <c r="C5" s="35" t="s">
        <v>113</v>
      </c>
      <c r="D5" s="35" t="s">
        <v>114</v>
      </c>
      <c r="E5" s="35" t="s">
        <v>115</v>
      </c>
      <c r="F5" s="35" t="s">
        <v>116</v>
      </c>
      <c r="G5" s="35" t="s">
        <v>117</v>
      </c>
    </row>
    <row r="6" customFormat="false" ht="77.25" hidden="false" customHeight="true" outlineLevel="0" collapsed="false">
      <c r="A6" s="35" t="s">
        <v>118</v>
      </c>
      <c r="B6" s="35" t="s">
        <v>119</v>
      </c>
      <c r="C6" s="35" t="s">
        <v>120</v>
      </c>
      <c r="D6" s="35" t="s">
        <v>121</v>
      </c>
      <c r="E6" s="35" t="s">
        <v>122</v>
      </c>
      <c r="F6" s="35" t="s">
        <v>123</v>
      </c>
      <c r="G6" s="35" t="s">
        <v>124</v>
      </c>
    </row>
    <row r="7" customFormat="false" ht="39" hidden="false" customHeight="true" outlineLevel="0" collapsed="false">
      <c r="A7" s="35" t="s">
        <v>125</v>
      </c>
      <c r="B7" s="35" t="s">
        <v>126</v>
      </c>
      <c r="C7" s="35" t="s">
        <v>127</v>
      </c>
      <c r="D7" s="35" t="s">
        <v>128</v>
      </c>
      <c r="E7" s="35" t="s">
        <v>129</v>
      </c>
      <c r="F7" s="35" t="s">
        <v>123</v>
      </c>
      <c r="G7" s="35" t="s">
        <v>130</v>
      </c>
    </row>
    <row r="8" customFormat="false" ht="39" hidden="false" customHeight="true" outlineLevel="0" collapsed="false">
      <c r="A8" s="35" t="s">
        <v>131</v>
      </c>
      <c r="B8" s="35" t="s">
        <v>132</v>
      </c>
      <c r="C8" s="35" t="s">
        <v>113</v>
      </c>
      <c r="D8" s="35" t="s">
        <v>133</v>
      </c>
      <c r="E8" s="35" t="s">
        <v>134</v>
      </c>
      <c r="F8" s="35" t="s">
        <v>135</v>
      </c>
      <c r="G8" s="35" t="s">
        <v>136</v>
      </c>
    </row>
    <row r="9" customFormat="false" ht="39" hidden="false" customHeight="true" outlineLevel="0" collapsed="false">
      <c r="A9" s="35" t="s">
        <v>131</v>
      </c>
      <c r="B9" s="35" t="s">
        <v>137</v>
      </c>
      <c r="C9" s="35" t="s">
        <v>113</v>
      </c>
      <c r="D9" s="35" t="s">
        <v>138</v>
      </c>
      <c r="E9" s="35" t="s">
        <v>139</v>
      </c>
      <c r="F9" s="35" t="s">
        <v>135</v>
      </c>
      <c r="G9" s="35" t="s">
        <v>140</v>
      </c>
    </row>
    <row r="10" customFormat="false" ht="39" hidden="false" customHeight="true" outlineLevel="0" collapsed="false">
      <c r="A10" s="35" t="s">
        <v>141</v>
      </c>
      <c r="B10" s="35" t="s">
        <v>142</v>
      </c>
      <c r="C10" s="35" t="s">
        <v>127</v>
      </c>
      <c r="D10" s="35" t="s">
        <v>143</v>
      </c>
      <c r="E10" s="35" t="s">
        <v>144</v>
      </c>
      <c r="F10" s="35" t="s">
        <v>135</v>
      </c>
      <c r="G10" s="35" t="s">
        <v>145</v>
      </c>
    </row>
    <row r="11" customFormat="false" ht="77.25" hidden="false" customHeight="true" outlineLevel="0" collapsed="false">
      <c r="A11" s="35" t="s">
        <v>146</v>
      </c>
      <c r="B11" s="35" t="s">
        <v>147</v>
      </c>
      <c r="C11" s="35" t="s">
        <v>148</v>
      </c>
      <c r="D11" s="35" t="s">
        <v>149</v>
      </c>
      <c r="E11" s="35" t="s">
        <v>150</v>
      </c>
      <c r="F11" s="35" t="s">
        <v>123</v>
      </c>
      <c r="G11" s="35" t="s">
        <v>151</v>
      </c>
    </row>
    <row r="12" customFormat="false" ht="77.25" hidden="false" customHeight="true" outlineLevel="0" collapsed="false">
      <c r="A12" s="35" t="s">
        <v>152</v>
      </c>
      <c r="B12" s="35" t="s">
        <v>153</v>
      </c>
      <c r="C12" s="35" t="s">
        <v>148</v>
      </c>
      <c r="D12" s="35" t="s">
        <v>154</v>
      </c>
      <c r="E12" s="35" t="s">
        <v>155</v>
      </c>
      <c r="F12" s="35" t="s">
        <v>123</v>
      </c>
      <c r="G12" s="35" t="s">
        <v>156</v>
      </c>
    </row>
    <row r="13" customFormat="false" ht="26.25" hidden="false" customHeight="true" outlineLevel="0" collapsed="false">
      <c r="A13" s="35" t="s">
        <v>157</v>
      </c>
      <c r="B13" s="35" t="s">
        <v>158</v>
      </c>
      <c r="C13" s="35" t="s">
        <v>127</v>
      </c>
      <c r="D13" s="35" t="s">
        <v>159</v>
      </c>
      <c r="E13" s="35" t="s">
        <v>160</v>
      </c>
      <c r="F13" s="35" t="s">
        <v>161</v>
      </c>
      <c r="G13" s="35" t="s">
        <v>162</v>
      </c>
    </row>
    <row r="14" customFormat="false" ht="77.25" hidden="false" customHeight="true" outlineLevel="0" collapsed="false">
      <c r="A14" s="35" t="s">
        <v>163</v>
      </c>
      <c r="B14" s="35" t="s">
        <v>164</v>
      </c>
      <c r="C14" s="35" t="s">
        <v>165</v>
      </c>
      <c r="D14" s="35" t="s">
        <v>166</v>
      </c>
      <c r="E14" s="35" t="s">
        <v>167</v>
      </c>
      <c r="F14" s="35" t="s">
        <v>168</v>
      </c>
      <c r="G14" s="35" t="s">
        <v>169</v>
      </c>
    </row>
    <row r="15" customFormat="false" ht="39" hidden="false" customHeight="true" outlineLevel="0" collapsed="false">
      <c r="A15" s="35" t="s">
        <v>170</v>
      </c>
      <c r="B15" s="35" t="s">
        <v>171</v>
      </c>
      <c r="C15" s="35" t="s">
        <v>172</v>
      </c>
      <c r="D15" s="35" t="s">
        <v>173</v>
      </c>
      <c r="E15" s="35" t="s">
        <v>174</v>
      </c>
      <c r="F15" s="35" t="s">
        <v>175</v>
      </c>
      <c r="G15" s="3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2026-09-27T11:52:47Z</dcterms:created>
  <dc:creator>Hang Xu</dc:creator>
  <dc:description/>
  <dc:language>en-US</dc:language>
  <cp:lastModifiedBy/>
  <dcterms:modified xsi:type="dcterms:W3CDTF">2026-09-30T14:04:16Z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